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name="Sheet1" sheetId="1" r:id="rId1"/>
  </sheets>
  <definedNames/>
  <calcPr/>
</workbook>
</file>

<file path=xl/sharedStrings.xml><?xml version="1.0" encoding="utf-8"?>
<sst xmlns="http://schemas.openxmlformats.org/spreadsheetml/2006/main">
  <si>
    <t>Name</t>
  </si>
  <si>
    <t>Category</t>
  </si>
  <si>
    <t>No. Of Reviews</t>
  </si>
  <si>
    <t>Stars</t>
  </si>
  <si>
    <t>Phone Number</t>
  </si>
  <si>
    <t>Address</t>
  </si>
  <si>
    <t>Place Website</t>
  </si>
  <si>
    <t>Gmap URL</t>
  </si>
  <si>
    <t>THE GIFT CORNER &amp; CHIP LINE MOBILE SERVICE &amp; ALL TYPE SKINS.</t>
  </si>
  <si>
    <t>Gift shop</t>
  </si>
  <si>
    <t>38</t>
  </si>
  <si>
    <t>5</t>
  </si>
  <si>
    <t>+91 93630 88188</t>
  </si>
  <si>
    <t>No2, 1538, Chetpet Rd, Vandavasi, Tamil Nadu 604408, India</t>
  </si>
  <si>
    <t>National Gift &amp; Fancy</t>
  </si>
  <si>
    <t>GJ44 X68, RCM Complex, Kottai Mulai, Vandavasi, 604408, India</t>
  </si>
  <si>
    <t>Sky world</t>
  </si>
  <si>
    <t>Cell phone store</t>
  </si>
  <si>
    <t>271</t>
  </si>
  <si>
    <t>4.9</t>
  </si>
  <si>
    <t>+91 98423 20212</t>
  </si>
  <si>
    <t>SR Complex, SH 115, Vandavasi, Tamil Nadu 604408, India</t>
  </si>
  <si>
    <t>Nandeeswara Fancy and Gift Store</t>
  </si>
  <si>
    <t>Shopping mall</t>
  </si>
  <si>
    <t>9</t>
  </si>
  <si>
    <t>MG4R P5W, Cheyyar, Tamil Nadu 604407, India</t>
  </si>
  <si>
    <t>Sangeetha Gadgets - Vandavasi</t>
  </si>
  <si>
    <t>438</t>
  </si>
  <si>
    <t>4.6</t>
  </si>
  <si>
    <t>+91 80 4446 4339</t>
  </si>
  <si>
    <t>No 148 &amp; 149, Bazzar Street, Tiruvannamalai, Vandavasi, Tamil Nadu 604408, India</t>
  </si>
  <si>
    <t>Nanban Gift Shop</t>
  </si>
  <si>
    <t>+91 63834 33710</t>
  </si>
  <si>
    <t>121,acharappakam Road Acharapaakam Road, Vandavasi, Tamil Nadu 604408, India</t>
  </si>
  <si>
    <t>Sathya Agencies, Vandavasi - Electronics and Home Appliances Store - Buy Latest Mobiles, AC, LED TV, Washing Machine etc.</t>
  </si>
  <si>
    <t>Appliance store</t>
  </si>
  <si>
    <t>295</t>
  </si>
  <si>
    <t>+91 78454 40985</t>
  </si>
  <si>
    <t>25, Othavadai Chetty St, near Balambal mahal, opp. to indian bank, Vandavasi, Tamil Nadu 604408, India</t>
  </si>
  <si>
    <t>Vimala Jewellery - Vandavasi</t>
  </si>
  <si>
    <t>Jewelry store</t>
  </si>
  <si>
    <t>145</t>
  </si>
  <si>
    <t>4.3</t>
  </si>
  <si>
    <t>+91 94431 46777</t>
  </si>
  <si>
    <t>Vimala Jewellery, No:50, Bazar St, Vandavasi, Tamil Nadu 604408, India</t>
  </si>
  <si>
    <t>First Smile Baby Shop And Kids</t>
  </si>
  <si>
    <t>Baby store</t>
  </si>
  <si>
    <t>16</t>
  </si>
  <si>
    <t>+91 98943 30125</t>
  </si>
  <si>
    <t>133, Othavadai Chetty St, opp. Saravana super market, Vandavasi, Tamil Nadu 603406, India</t>
  </si>
  <si>
    <t>SRI AMMAN ELECTRONICS</t>
  </si>
  <si>
    <t>Electronics store</t>
  </si>
  <si>
    <t>20</t>
  </si>
  <si>
    <t>4.5</t>
  </si>
  <si>
    <t>+91 99427 95076</t>
  </si>
  <si>
    <t>THERADI, Vandavasi, Tamil Nadu 604408, India</t>
  </si>
  <si>
    <t>Kalpana Thanga Maaligai</t>
  </si>
  <si>
    <t>143, bazaar street, Vandavasi, Tamil Nadu 604408, India</t>
  </si>
  <si>
    <t>VELU SABARI FANCY STORE</t>
  </si>
  <si>
    <t>+91 76394 61241</t>
  </si>
  <si>
    <t>Vandavasi Rd, Tiruvannamalai, Vandavasi, Tamil Nadu 604408, India</t>
  </si>
  <si>
    <t>SNACKS BAZAAR</t>
  </si>
  <si>
    <t>Restaurant</t>
  </si>
  <si>
    <t>58</t>
  </si>
  <si>
    <t>+91 73057 55444</t>
  </si>
  <si>
    <t>Sannathi St, Vandavasi, Tamil Nadu 604408, India</t>
  </si>
  <si>
    <t>V.A.A. STATIONERY &amp; GENERAL STORE</t>
  </si>
  <si>
    <t>Stationery wholesaler</t>
  </si>
  <si>
    <t>1</t>
  </si>
  <si>
    <t>+91 96888 47347</t>
  </si>
  <si>
    <t>NO 150, ERIPPATATI ST, VENKUNDRAM, Vandavasi, Tamil Nadu 604408, India</t>
  </si>
  <si>
    <t>Madhumitha Fancy Store</t>
  </si>
  <si>
    <t>Thiruneelakandapuram Street, 12/1, Venkundram Road, Tiruvannamalai, Vandavasi, Tamil Nadu 604408, India</t>
  </si>
  <si>
    <t>SAMBHAV GIFTS</t>
  </si>
  <si>
    <t>5301</t>
  </si>
  <si>
    <t>+91 76248 14829</t>
  </si>
  <si>
    <t>ABLASHRAM BUILDING, no 9 &amp; 10, DV Gundappa Rd, Basavanagudi, Bengaluru, Karnataka 560004, India</t>
  </si>
  <si>
    <t>Sivanthi shoppe Sivakasi</t>
  </si>
  <si>
    <t>86</t>
  </si>
  <si>
    <t>4.4</t>
  </si>
  <si>
    <t>+91 98945 26045</t>
  </si>
  <si>
    <t>134, New Rd, Senayapuram Colony, Sivakasi, Tamil Nadu 626123, India</t>
  </si>
  <si>
    <t>Hi-Fi Mobiles</t>
  </si>
  <si>
    <t>Cell phone accessory store</t>
  </si>
  <si>
    <t>15</t>
  </si>
  <si>
    <t>+91 78688 41238</t>
  </si>
  <si>
    <t>Gandhi Rd, Vandavasi, Tamil Nadu 604408, India</t>
  </si>
  <si>
    <t>Kavitha fancy store</t>
  </si>
  <si>
    <t>3</t>
  </si>
  <si>
    <t>KB COMPLEX, Uthiramerur, Tamil Nadu 603406, India</t>
  </si>
</sst>
</file>

<file path=xl/styles.xml><?xml version="1.0" encoding="utf-8"?>
<styleSheet xmlns="http://schemas.openxmlformats.org/spreadsheetml/2006/main">
  <fonts count="2">
    <font>
      <sz val="12"/>
      <color theme="1"/>
      <name val="Calibri"/>
      <family val="2"/>
      <scheme val="minor"/>
    </font>
    <font>
      <sz val="12"/>
      <color theme="1"/>
      <name val="Calibri"/>
      <family val="2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/>
    <xf fontId="1" applyFont="1"/>
    <xf applyAlignment="1">
      <alignment wrapText="1"/>
    </xf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30" customWidth="1"/>
    <col min="2" max="2" width="20" customWidth="1"/>
    <col min="3" max="3" width="15" customWidth="1"/>
    <col min="4" max="4" width="10" customWidth="1"/>
    <col min="5" max="5" width="20" customWidth="1"/>
    <col min="6" max="6" width="60" customWidth="1"/>
    <col min="7" max="7" width="50" customWidth="1"/>
    <col min="8" max="8" width="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2" t="s">
        <v>13</v>
      </c>
      <c r="H2" t="f">
        <f>=HYPERLINK("https://www.google.com/maps/search/?api=1&amp;query=THE%20GIFT%20CORNER%20%26%20CHIP%20LINE%20MOBILE%20SERVICE%20%26%20ALL%20TYPE%20SKINS.", "Click here")</f>
      </c>
    </row>
    <row r="3">
      <c r="A3" t="s">
        <v>14</v>
      </c>
      <c r="B3" t="s">
        <v>9</v>
      </c>
      <c r="F3" s="2" t="s">
        <v>15</v>
      </c>
      <c r="H3" t="f">
        <f>=HYPERLINK("https://www.google.com/maps/search/?api=1&amp;query=National%20Gift%20%26%20Fancy", "Click here")</f>
      </c>
    </row>
    <row r="4">
      <c r="A4" t="s">
        <v>16</v>
      </c>
      <c r="B4" t="s">
        <v>17</v>
      </c>
      <c r="C4" t="s">
        <v>18</v>
      </c>
      <c r="D4" t="s">
        <v>19</v>
      </c>
      <c r="E4" t="s">
        <v>20</v>
      </c>
      <c r="F4" s="2" t="s">
        <v>21</v>
      </c>
      <c r="G4" t="f">
        <f>=HYPERLINK("http://www.skymobile.in/")</f>
      </c>
      <c r="H4" t="f">
        <f>=HYPERLINK("https://www.google.com/maps/search/?api=1&amp;query=Sky%20world", "Click here")</f>
      </c>
    </row>
    <row r="5">
      <c r="A5" t="s">
        <v>22</v>
      </c>
      <c r="B5" t="s">
        <v>23</v>
      </c>
      <c r="C5" t="s">
        <v>24</v>
      </c>
      <c r="D5" t="s">
        <v>11</v>
      </c>
      <c r="F5" s="2" t="s">
        <v>25</v>
      </c>
      <c r="H5" t="f">
        <f>=HYPERLINK("https://www.google.com/maps/search/?api=1&amp;query=Nandeeswara%20Fancy%20and%20Gift%20Store", "Click here")</f>
      </c>
    </row>
    <row r="6">
      <c r="A6" t="s">
        <v>26</v>
      </c>
      <c r="B6" t="s">
        <v>17</v>
      </c>
      <c r="C6" t="s">
        <v>27</v>
      </c>
      <c r="D6" t="s">
        <v>28</v>
      </c>
      <c r="E6" t="s">
        <v>29</v>
      </c>
      <c r="F6" s="2" t="s">
        <v>30</v>
      </c>
      <c r="G6" t="f">
        <f>=HYPERLINK("https://stores.sangeethamobiles.com/sangeetha-gadgets-vandavasi-mobile-phone-shop-bazzar-street-tiruvannamalai-341695/Home?utm_source=locator&amp;utm_medium=googleplaces")</f>
      </c>
      <c r="H6" t="f">
        <f>=HYPERLINK("https://www.google.com/maps/search/?api=1&amp;query=Sangeetha%20Gadgets%20-%20Vandavasi", "Click here")</f>
      </c>
    </row>
    <row r="7">
      <c r="A7" t="s">
        <v>31</v>
      </c>
      <c r="B7" t="s">
        <v>9</v>
      </c>
      <c r="E7" t="s">
        <v>32</v>
      </c>
      <c r="F7" s="2" t="s">
        <v>33</v>
      </c>
      <c r="H7" t="f">
        <f>=HYPERLINK("https://www.google.com/maps/search/?api=1&amp;query=Nanban%20Gift%20Shop", "Click here")</f>
      </c>
    </row>
    <row r="8">
      <c r="A8" t="s">
        <v>34</v>
      </c>
      <c r="B8" t="s">
        <v>35</v>
      </c>
      <c r="C8" t="s">
        <v>36</v>
      </c>
      <c r="D8" t="s">
        <v>19</v>
      </c>
      <c r="E8" t="s">
        <v>37</v>
      </c>
      <c r="F8" s="2" t="s">
        <v>38</v>
      </c>
      <c r="G8" t="f">
        <f>=HYPERLINK("https://www.sathya.store/")</f>
      </c>
      <c r="H8" t="f">
        <f>=HYPERLINK("https://www.google.com/maps/search/?api=1&amp;query=Sathya%20Agencies%2C%20Vandavasi%20-%20Electronics%20and%20Home%20Appliances%20Store%20-%20Buy%20Latest%20Mobiles%2C%20AC%2C%20LED%20TV%2C%20Washing%20Machine%20etc.", "Click here")</f>
      </c>
    </row>
    <row r="9">
      <c r="A9" t="s">
        <v>39</v>
      </c>
      <c r="B9" t="s">
        <v>40</v>
      </c>
      <c r="C9" t="s">
        <v>41</v>
      </c>
      <c r="D9" t="s">
        <v>42</v>
      </c>
      <c r="E9" t="s">
        <v>43</v>
      </c>
      <c r="F9" s="2" t="s">
        <v>44</v>
      </c>
      <c r="G9" t="f">
        <f>=HYPERLINK("https://www.vimalajewellery.com/")</f>
      </c>
      <c r="H9" t="f">
        <f>=HYPERLINK("https://www.google.com/maps/search/?api=1&amp;query=Vimala%20Jewellery%20-%20Vandavasi", "Click here")</f>
      </c>
    </row>
    <row r="10">
      <c r="A10" t="s">
        <v>45</v>
      </c>
      <c r="B10" t="s">
        <v>46</v>
      </c>
      <c r="C10" t="s">
        <v>47</v>
      </c>
      <c r="D10" t="s">
        <v>28</v>
      </c>
      <c r="E10" t="s">
        <v>48</v>
      </c>
      <c r="F10" s="2" t="s">
        <v>49</v>
      </c>
      <c r="H10" t="f">
        <f>=HYPERLINK("https://www.google.com/maps/search/?api=1&amp;query=First%20Smile%20Baby%20Shop%20And%20Kids", "Click here")</f>
      </c>
    </row>
    <row r="11">
      <c r="A11" t="s">
        <v>50</v>
      </c>
      <c r="B11" t="s">
        <v>51</v>
      </c>
      <c r="C11" t="s">
        <v>52</v>
      </c>
      <c r="D11" t="s">
        <v>53</v>
      </c>
      <c r="E11" t="s">
        <v>54</v>
      </c>
      <c r="F11" s="2" t="s">
        <v>55</v>
      </c>
      <c r="H11" t="f">
        <f>=HYPERLINK("https://www.google.com/maps/search/?api=1&amp;query=SRI%20AMMAN%20ELECTRONICS", "Click here")</f>
      </c>
    </row>
    <row r="12">
      <c r="A12" t="s">
        <v>56</v>
      </c>
      <c r="B12" t="s">
        <v>40</v>
      </c>
      <c r="C12" t="s">
        <v>24</v>
      </c>
      <c r="D12" t="s">
        <v>19</v>
      </c>
      <c r="F12" s="2" t="s">
        <v>57</v>
      </c>
      <c r="H12" t="f">
        <f>=HYPERLINK("https://www.google.com/maps/search/?api=1&amp;query=Kalpana%20Thanga%20Maaligai", "Click here")</f>
      </c>
    </row>
    <row r="13">
      <c r="A13" t="s">
        <v>58</v>
      </c>
      <c r="B13" t="s">
        <v>9</v>
      </c>
      <c r="E13" t="s">
        <v>59</v>
      </c>
      <c r="F13" s="2" t="s">
        <v>60</v>
      </c>
      <c r="H13" t="f">
        <f>=HYPERLINK("https://www.google.com/maps/search/?api=1&amp;query=VELU%20SABARI%20FANCY%20STORE", "Click here")</f>
      </c>
    </row>
    <row r="14">
      <c r="A14" t="s">
        <v>61</v>
      </c>
      <c r="B14" t="s">
        <v>62</v>
      </c>
      <c r="C14" t="s">
        <v>63</v>
      </c>
      <c r="D14" t="s">
        <v>53</v>
      </c>
      <c r="E14" t="s">
        <v>64</v>
      </c>
      <c r="F14" s="2" t="s">
        <v>65</v>
      </c>
      <c r="H14" t="f">
        <f>=HYPERLINK("https://www.google.com/maps/search/?api=1&amp;query=SNACKS%20BAZAAR", "Click here")</f>
      </c>
    </row>
    <row r="15">
      <c r="A15" t="s">
        <v>66</v>
      </c>
      <c r="B15" t="s">
        <v>67</v>
      </c>
      <c r="C15" t="s">
        <v>68</v>
      </c>
      <c r="D15" t="s">
        <v>11</v>
      </c>
      <c r="E15" t="s">
        <v>69</v>
      </c>
      <c r="F15" s="2" t="s">
        <v>70</v>
      </c>
      <c r="G15" t="f">
        <f>=HYPERLINK("https://vaaprint.com/")</f>
      </c>
      <c r="H15" t="f">
        <f>=HYPERLINK("https://www.google.com/maps/search/?api=1&amp;query=V.A.A.%20STATIONERY%20%26%20GENERAL%20STORE", "Click here")</f>
      </c>
    </row>
    <row r="16">
      <c r="A16" t="s">
        <v>71</v>
      </c>
      <c r="B16" t="s">
        <v>9</v>
      </c>
      <c r="F16" s="2" t="s">
        <v>72</v>
      </c>
      <c r="H16" t="f">
        <f>=HYPERLINK("https://www.google.com/maps/search/?api=1&amp;query=Madhumitha%20Fancy%20Store", "Click here")</f>
      </c>
    </row>
    <row r="17">
      <c r="A17" t="s">
        <v>22</v>
      </c>
      <c r="B17" t="s">
        <v>23</v>
      </c>
      <c r="C17" t="s">
        <v>24</v>
      </c>
      <c r="D17" t="s">
        <v>11</v>
      </c>
      <c r="F17" s="2" t="s">
        <v>25</v>
      </c>
      <c r="H17" t="f">
        <f>=HYPERLINK("https://www.google.com/maps/search/?api=1&amp;query=Nandeeswara%20Fancy%20and%20Gift%20Store", "Click here")</f>
      </c>
    </row>
    <row r="18">
      <c r="A18" t="s">
        <v>26</v>
      </c>
      <c r="B18" t="s">
        <v>17</v>
      </c>
      <c r="C18" t="s">
        <v>27</v>
      </c>
      <c r="D18" t="s">
        <v>28</v>
      </c>
      <c r="E18" t="s">
        <v>29</v>
      </c>
      <c r="F18" s="2" t="s">
        <v>30</v>
      </c>
      <c r="G18" t="f">
        <f>=HYPERLINK("https://stores.sangeethamobiles.com/sangeetha-gadgets-vandavasi-mobile-phone-shop-bazzar-street-tiruvannamalai-341695/Home?utm_source=locator&amp;utm_medium=googleplaces")</f>
      </c>
      <c r="H18" t="f">
        <f>=HYPERLINK("https://www.google.com/maps/search/?api=1&amp;query=Sangeetha%20Gadgets%20-%20Vandavasi", "Click here")</f>
      </c>
    </row>
    <row r="19">
      <c r="A19" t="s">
        <v>16</v>
      </c>
      <c r="B19" t="s">
        <v>17</v>
      </c>
      <c r="C19" t="s">
        <v>18</v>
      </c>
      <c r="D19" t="s">
        <v>19</v>
      </c>
      <c r="E19" t="s">
        <v>20</v>
      </c>
      <c r="F19" s="2" t="s">
        <v>21</v>
      </c>
      <c r="G19" t="f">
        <f>=HYPERLINK("http://www.skymobile.in/")</f>
      </c>
      <c r="H19" t="f">
        <f>=HYPERLINK("https://www.google.com/maps/search/?api=1&amp;query=Sky%20world", "Click here")</f>
      </c>
    </row>
    <row r="20">
      <c r="A20" t="s">
        <v>14</v>
      </c>
      <c r="B20" t="s">
        <v>9</v>
      </c>
      <c r="F20" s="2" t="s">
        <v>15</v>
      </c>
      <c r="H20" t="f">
        <f>=HYPERLINK("https://www.google.com/maps/search/?api=1&amp;query=National%20Gift%20%26%20Fancy", "Click here")</f>
      </c>
    </row>
    <row r="21">
      <c r="A21" t="s">
        <v>31</v>
      </c>
      <c r="B21" t="s">
        <v>9</v>
      </c>
      <c r="E21" t="s">
        <v>32</v>
      </c>
      <c r="F21" s="2" t="s">
        <v>33</v>
      </c>
      <c r="H21" t="f">
        <f>=HYPERLINK("https://www.google.com/maps/search/?api=1&amp;query=Nanban%20Gift%20Shop", "Click here")</f>
      </c>
    </row>
    <row r="22">
      <c r="A22" t="s">
        <v>39</v>
      </c>
      <c r="B22" t="s">
        <v>40</v>
      </c>
      <c r="C22" t="s">
        <v>41</v>
      </c>
      <c r="D22" t="s">
        <v>42</v>
      </c>
      <c r="E22" t="s">
        <v>43</v>
      </c>
      <c r="F22" s="2" t="s">
        <v>44</v>
      </c>
      <c r="G22" t="f">
        <f>=HYPERLINK("https://www.vimalajewellery.com/")</f>
      </c>
      <c r="H22" t="f">
        <f>=HYPERLINK("https://www.google.com/maps/search/?api=1&amp;query=Vimala%20Jewellery%20-%20Vandavasi", "Click here")</f>
      </c>
    </row>
    <row r="23">
      <c r="A23" t="s">
        <v>34</v>
      </c>
      <c r="B23" t="s">
        <v>35</v>
      </c>
      <c r="C23" t="s">
        <v>36</v>
      </c>
      <c r="D23" t="s">
        <v>19</v>
      </c>
      <c r="E23" t="s">
        <v>37</v>
      </c>
      <c r="F23" s="2" t="s">
        <v>38</v>
      </c>
      <c r="G23" t="f">
        <f>=HYPERLINK("https://www.sathya.store/")</f>
      </c>
      <c r="H23" t="f">
        <f>=HYPERLINK("https://www.google.com/maps/search/?api=1&amp;query=Sathya%20Agencies%2C%20Vandavasi%20-%20Electronics%20and%20Home%20Appliances%20Store%20-%20Buy%20Latest%20Mobiles%2C%20AC%2C%20LED%20TV%2C%20Washing%20Machine%20etc.", "Click here")</f>
      </c>
    </row>
    <row r="24">
      <c r="A24" t="s">
        <v>50</v>
      </c>
      <c r="B24" t="s">
        <v>51</v>
      </c>
      <c r="C24" t="s">
        <v>52</v>
      </c>
      <c r="D24" t="s">
        <v>53</v>
      </c>
      <c r="E24" t="s">
        <v>54</v>
      </c>
      <c r="F24" s="2" t="s">
        <v>55</v>
      </c>
      <c r="H24" t="f">
        <f>=HYPERLINK("https://www.google.com/maps/search/?api=1&amp;query=SRI%20AMMAN%20ELECTRONICS", "Click here")</f>
      </c>
    </row>
    <row r="25">
      <c r="A25" t="s">
        <v>45</v>
      </c>
      <c r="B25" t="s">
        <v>46</v>
      </c>
      <c r="C25" t="s">
        <v>47</v>
      </c>
      <c r="D25" t="s">
        <v>28</v>
      </c>
      <c r="E25" t="s">
        <v>48</v>
      </c>
      <c r="F25" s="2" t="s">
        <v>49</v>
      </c>
      <c r="H25" t="f">
        <f>=HYPERLINK("https://www.google.com/maps/search/?api=1&amp;query=First%20Smile%20Baby%20Shop%20And%20Kids", "Click here")</f>
      </c>
    </row>
    <row r="26">
      <c r="A26" t="s">
        <v>61</v>
      </c>
      <c r="B26" t="s">
        <v>62</v>
      </c>
      <c r="C26" t="s">
        <v>63</v>
      </c>
      <c r="D26" t="s">
        <v>53</v>
      </c>
      <c r="E26" t="s">
        <v>64</v>
      </c>
      <c r="F26" s="2" t="s">
        <v>65</v>
      </c>
      <c r="H26" t="f">
        <f>=HYPERLINK("https://www.google.com/maps/search/?api=1&amp;query=SNACKS%20BAZAAR", "Click here")</f>
      </c>
    </row>
    <row r="27">
      <c r="A27" t="s">
        <v>56</v>
      </c>
      <c r="B27" t="s">
        <v>40</v>
      </c>
      <c r="C27" t="s">
        <v>24</v>
      </c>
      <c r="D27" t="s">
        <v>19</v>
      </c>
      <c r="F27" s="2" t="s">
        <v>57</v>
      </c>
      <c r="H27" t="f">
        <f>=HYPERLINK("https://www.google.com/maps/search/?api=1&amp;query=Kalpana%20Thanga%20Maaligai", "Click here")</f>
      </c>
    </row>
    <row r="28">
      <c r="A28" t="s">
        <v>66</v>
      </c>
      <c r="B28" t="s">
        <v>67</v>
      </c>
      <c r="C28" t="s">
        <v>68</v>
      </c>
      <c r="D28" t="s">
        <v>11</v>
      </c>
      <c r="E28" t="s">
        <v>69</v>
      </c>
      <c r="F28" s="2" t="s">
        <v>70</v>
      </c>
      <c r="G28" t="f">
        <f>=HYPERLINK("https://vaaprint.com/")</f>
      </c>
      <c r="H28" t="f">
        <f>=HYPERLINK("https://www.google.com/maps/search/?api=1&amp;query=V.A.A.%20STATIONERY%20%26%20GENERAL%20STORE", "Click here")</f>
      </c>
    </row>
    <row r="29">
      <c r="A29" t="s">
        <v>58</v>
      </c>
      <c r="B29" t="s">
        <v>9</v>
      </c>
      <c r="E29" t="s">
        <v>59</v>
      </c>
      <c r="F29" s="2" t="s">
        <v>60</v>
      </c>
      <c r="H29" t="f">
        <f>=HYPERLINK("https://www.google.com/maps/search/?api=1&amp;query=VELU%20SABARI%20FANCY%20STORE", "Click here")</f>
      </c>
    </row>
    <row r="30">
      <c r="A30" t="s">
        <v>73</v>
      </c>
      <c r="B30" t="s">
        <v>9</v>
      </c>
      <c r="C30" t="s">
        <v>74</v>
      </c>
      <c r="D30" t="s">
        <v>19</v>
      </c>
      <c r="E30" t="s">
        <v>75</v>
      </c>
      <c r="F30" s="2" t="s">
        <v>76</v>
      </c>
      <c r="H30" t="f">
        <f>=HYPERLINK("https://www.google.com/maps/search/?api=1&amp;query=SAMBHAV%20GIFTS", "Click here")</f>
      </c>
    </row>
    <row r="31">
      <c r="A31" t="s">
        <v>77</v>
      </c>
      <c r="B31" t="s">
        <v>9</v>
      </c>
      <c r="C31" t="s">
        <v>78</v>
      </c>
      <c r="D31" t="s">
        <v>79</v>
      </c>
      <c r="E31" t="s">
        <v>80</v>
      </c>
      <c r="F31" s="2" t="s">
        <v>81</v>
      </c>
      <c r="H31" t="f">
        <f>=HYPERLINK("https://www.google.com/maps/search/?api=1&amp;query=Sivanthi%20shoppe%20Sivakasi", "Click here")</f>
      </c>
    </row>
    <row r="32">
      <c r="A32" t="s">
        <v>82</v>
      </c>
      <c r="B32" t="s">
        <v>83</v>
      </c>
      <c r="C32" t="s">
        <v>84</v>
      </c>
      <c r="D32" t="s">
        <v>11</v>
      </c>
      <c r="E32" t="s">
        <v>85</v>
      </c>
      <c r="F32" s="2" t="s">
        <v>86</v>
      </c>
      <c r="H32" t="f">
        <f>=HYPERLINK("https://www.google.com/maps/search/?api=1&amp;query=Hi-Fi%20Mobiles", "Click here")</f>
      </c>
    </row>
    <row r="33">
      <c r="A33" t="s">
        <v>71</v>
      </c>
      <c r="B33" t="s">
        <v>9</v>
      </c>
      <c r="F33" s="2" t="s">
        <v>72</v>
      </c>
      <c r="H33" t="f">
        <f>=HYPERLINK("https://www.google.com/maps/search/?api=1&amp;query=Madhumitha%20Fancy%20Store", "Click here")</f>
      </c>
    </row>
    <row r="34">
      <c r="A34" t="s">
        <v>39</v>
      </c>
      <c r="B34" t="s">
        <v>40</v>
      </c>
      <c r="C34" t="s">
        <v>41</v>
      </c>
      <c r="D34" t="s">
        <v>42</v>
      </c>
      <c r="E34" t="s">
        <v>43</v>
      </c>
      <c r="F34" s="2" t="s">
        <v>44</v>
      </c>
      <c r="G34" t="f">
        <f>=HYPERLINK("https://www.vimalajewellery.com/")</f>
      </c>
      <c r="H34" t="f">
        <f>=HYPERLINK("https://www.google.com/maps/search/?api=1&amp;query=Vimala%20Jewellery%20-%20Vandavasi", "Click here")</f>
      </c>
    </row>
    <row r="35">
      <c r="A35" t="s">
        <v>45</v>
      </c>
      <c r="B35" t="s">
        <v>46</v>
      </c>
      <c r="C35" t="s">
        <v>47</v>
      </c>
      <c r="D35" t="s">
        <v>28</v>
      </c>
      <c r="E35" t="s">
        <v>48</v>
      </c>
      <c r="F35" s="2" t="s">
        <v>49</v>
      </c>
      <c r="H35" t="f">
        <f>=HYPERLINK("https://www.google.com/maps/search/?api=1&amp;query=First%20Smile%20Baby%20Shop%20And%20Kids", "Click here")</f>
      </c>
    </row>
    <row r="36">
      <c r="A36" t="s">
        <v>50</v>
      </c>
      <c r="B36" t="s">
        <v>51</v>
      </c>
      <c r="C36" t="s">
        <v>52</v>
      </c>
      <c r="D36" t="s">
        <v>53</v>
      </c>
      <c r="E36" t="s">
        <v>54</v>
      </c>
      <c r="F36" s="2" t="s">
        <v>55</v>
      </c>
      <c r="H36" t="f">
        <f>=HYPERLINK("https://www.google.com/maps/search/?api=1&amp;query=SRI%20AMMAN%20ELECTRONICS", "Click here")</f>
      </c>
    </row>
    <row r="37">
      <c r="A37" t="s">
        <v>56</v>
      </c>
      <c r="B37" t="s">
        <v>40</v>
      </c>
      <c r="C37" t="s">
        <v>24</v>
      </c>
      <c r="D37" t="s">
        <v>19</v>
      </c>
      <c r="F37" s="2" t="s">
        <v>57</v>
      </c>
      <c r="H37" t="f">
        <f>=HYPERLINK("https://www.google.com/maps/search/?api=1&amp;query=Kalpana%20Thanga%20Maaligai", "Click here")</f>
      </c>
    </row>
    <row r="38">
      <c r="A38" t="s">
        <v>58</v>
      </c>
      <c r="B38" t="s">
        <v>9</v>
      </c>
      <c r="E38" t="s">
        <v>59</v>
      </c>
      <c r="F38" s="2" t="s">
        <v>60</v>
      </c>
      <c r="H38" t="f">
        <f>=HYPERLINK("https://www.google.com/maps/search/?api=1&amp;query=VELU%20SABARI%20FANCY%20STORE", "Click here")</f>
      </c>
    </row>
    <row r="39">
      <c r="A39" t="s">
        <v>61</v>
      </c>
      <c r="B39" t="s">
        <v>62</v>
      </c>
      <c r="C39" t="s">
        <v>63</v>
      </c>
      <c r="D39" t="s">
        <v>53</v>
      </c>
      <c r="E39" t="s">
        <v>64</v>
      </c>
      <c r="F39" s="2" t="s">
        <v>65</v>
      </c>
      <c r="H39" t="f">
        <f>=HYPERLINK("https://www.google.com/maps/search/?api=1&amp;query=SNACKS%20BAZAAR", "Click here")</f>
      </c>
    </row>
    <row r="40">
      <c r="A40" t="s">
        <v>66</v>
      </c>
      <c r="B40" t="s">
        <v>67</v>
      </c>
      <c r="C40" t="s">
        <v>68</v>
      </c>
      <c r="D40" t="s">
        <v>11</v>
      </c>
      <c r="E40" t="s">
        <v>69</v>
      </c>
      <c r="F40" s="2" t="s">
        <v>70</v>
      </c>
      <c r="G40" t="f">
        <f>=HYPERLINK("https://vaaprint.com/")</f>
      </c>
      <c r="H40" t="f">
        <f>=HYPERLINK("https://www.google.com/maps/search/?api=1&amp;query=V.A.A.%20STATIONERY%20%26%20GENERAL%20STORE", "Click here")</f>
      </c>
    </row>
    <row r="41">
      <c r="A41" t="s">
        <v>71</v>
      </c>
      <c r="B41" t="s">
        <v>9</v>
      </c>
      <c r="F41" s="2" t="s">
        <v>72</v>
      </c>
      <c r="H41" t="f">
        <f>=HYPERLINK("https://www.google.com/maps/search/?api=1&amp;query=Madhumitha%20Fancy%20Store", "Click here")</f>
      </c>
    </row>
    <row r="42">
      <c r="A42" t="s">
        <v>22</v>
      </c>
      <c r="B42" t="s">
        <v>23</v>
      </c>
      <c r="C42" t="s">
        <v>24</v>
      </c>
      <c r="D42" t="s">
        <v>11</v>
      </c>
      <c r="F42" s="2" t="s">
        <v>25</v>
      </c>
      <c r="H42" t="f">
        <f>=HYPERLINK("https://www.google.com/maps/search/?api=1&amp;query=Nandeeswara%20Fancy%20and%20Gift%20Store", "Click here")</f>
      </c>
    </row>
    <row r="43">
      <c r="A43" t="s">
        <v>26</v>
      </c>
      <c r="B43" t="s">
        <v>17</v>
      </c>
      <c r="C43" t="s">
        <v>27</v>
      </c>
      <c r="D43" t="s">
        <v>28</v>
      </c>
      <c r="E43" t="s">
        <v>29</v>
      </c>
      <c r="F43" s="2" t="s">
        <v>30</v>
      </c>
      <c r="G43" t="f">
        <f>=HYPERLINK("https://stores.sangeethamobiles.com/sangeetha-gadgets-vandavasi-mobile-phone-shop-bazzar-street-tiruvannamalai-341695/Home?utm_source=locator&amp;utm_medium=googleplaces")</f>
      </c>
      <c r="H43" t="f">
        <f>=HYPERLINK("https://www.google.com/maps/search/?api=1&amp;query=Sangeetha%20Gadgets%20-%20Vandavasi", "Click here")</f>
      </c>
    </row>
    <row r="44">
      <c r="A44" t="s">
        <v>31</v>
      </c>
      <c r="B44" t="s">
        <v>9</v>
      </c>
      <c r="E44" t="s">
        <v>32</v>
      </c>
      <c r="F44" s="2" t="s">
        <v>33</v>
      </c>
      <c r="H44" t="f">
        <f>=HYPERLINK("https://www.google.com/maps/search/?api=1&amp;query=Nanban%20Gift%20Shop", "Click here")</f>
      </c>
    </row>
    <row r="45">
      <c r="A45" t="s">
        <v>34</v>
      </c>
      <c r="B45" t="s">
        <v>35</v>
      </c>
      <c r="C45" t="s">
        <v>36</v>
      </c>
      <c r="D45" t="s">
        <v>19</v>
      </c>
      <c r="E45" t="s">
        <v>37</v>
      </c>
      <c r="F45" s="2" t="s">
        <v>38</v>
      </c>
      <c r="G45" t="f">
        <f>=HYPERLINK("https://www.sathya.store/")</f>
      </c>
      <c r="H45" t="f">
        <f>=HYPERLINK("https://www.google.com/maps/search/?api=1&amp;query=Sathya%20Agencies%2C%20Vandavasi%20-%20Electronics%20and%20Home%20Appliances%20Store%20-%20Buy%20Latest%20Mobiles%2C%20AC%2C%20LED%20TV%2C%20Washing%20Machine%20etc.", "Click here")</f>
      </c>
    </row>
    <row r="46">
      <c r="A46" t="s">
        <v>39</v>
      </c>
      <c r="B46" t="s">
        <v>40</v>
      </c>
      <c r="C46" t="s">
        <v>41</v>
      </c>
      <c r="D46" t="s">
        <v>42</v>
      </c>
      <c r="E46" t="s">
        <v>43</v>
      </c>
      <c r="F46" s="2" t="s">
        <v>44</v>
      </c>
      <c r="G46" t="f">
        <f>=HYPERLINK("https://www.vimalajewellery.com/")</f>
      </c>
      <c r="H46" t="f">
        <f>=HYPERLINK("https://www.google.com/maps/search/?api=1&amp;query=Vimala%20Jewellery%20-%20Vandavasi", "Click here")</f>
      </c>
    </row>
    <row r="47">
      <c r="A47" t="s">
        <v>45</v>
      </c>
      <c r="B47" t="s">
        <v>46</v>
      </c>
      <c r="C47" t="s">
        <v>47</v>
      </c>
      <c r="D47" t="s">
        <v>28</v>
      </c>
      <c r="E47" t="s">
        <v>48</v>
      </c>
      <c r="F47" s="2" t="s">
        <v>49</v>
      </c>
      <c r="H47" t="f">
        <f>=HYPERLINK("https://www.google.com/maps/search/?api=1&amp;query=First%20Smile%20Baby%20Shop%20And%20Kids", "Click here")</f>
      </c>
    </row>
    <row r="48">
      <c r="A48" t="s">
        <v>50</v>
      </c>
      <c r="B48" t="s">
        <v>51</v>
      </c>
      <c r="C48" t="s">
        <v>52</v>
      </c>
      <c r="D48" t="s">
        <v>53</v>
      </c>
      <c r="E48" t="s">
        <v>54</v>
      </c>
      <c r="F48" s="2" t="s">
        <v>55</v>
      </c>
      <c r="H48" t="f">
        <f>=HYPERLINK("https://www.google.com/maps/search/?api=1&amp;query=SRI%20AMMAN%20ELECTRONICS", "Click here")</f>
      </c>
    </row>
    <row r="49">
      <c r="A49" t="s">
        <v>56</v>
      </c>
      <c r="B49" t="s">
        <v>40</v>
      </c>
      <c r="C49" t="s">
        <v>24</v>
      </c>
      <c r="D49" t="s">
        <v>19</v>
      </c>
      <c r="F49" s="2" t="s">
        <v>57</v>
      </c>
      <c r="H49" t="f">
        <f>=HYPERLINK("https://www.google.com/maps/search/?api=1&amp;query=Kalpana%20Thanga%20Maaligai", "Click here")</f>
      </c>
    </row>
    <row r="50">
      <c r="A50" t="s">
        <v>58</v>
      </c>
      <c r="B50" t="s">
        <v>9</v>
      </c>
      <c r="E50" t="s">
        <v>59</v>
      </c>
      <c r="F50" s="2" t="s">
        <v>60</v>
      </c>
      <c r="H50" t="f">
        <f>=HYPERLINK("https://www.google.com/maps/search/?api=1&amp;query=VELU%20SABARI%20FANCY%20STORE", "Click here")</f>
      </c>
    </row>
    <row r="51">
      <c r="A51" t="s">
        <v>61</v>
      </c>
      <c r="B51" t="s">
        <v>62</v>
      </c>
      <c r="C51" t="s">
        <v>63</v>
      </c>
      <c r="D51" t="s">
        <v>53</v>
      </c>
      <c r="E51" t="s">
        <v>64</v>
      </c>
      <c r="F51" s="2" t="s">
        <v>65</v>
      </c>
      <c r="H51" t="f">
        <f>=HYPERLINK("https://www.google.com/maps/search/?api=1&amp;query=SNACKS%20BAZAAR", "Click here")</f>
      </c>
    </row>
    <row r="52">
      <c r="A52" t="s">
        <v>66</v>
      </c>
      <c r="B52" t="s">
        <v>67</v>
      </c>
      <c r="C52" t="s">
        <v>68</v>
      </c>
      <c r="D52" t="s">
        <v>11</v>
      </c>
      <c r="E52" t="s">
        <v>69</v>
      </c>
      <c r="F52" s="2" t="s">
        <v>70</v>
      </c>
      <c r="G52" t="f">
        <f>=HYPERLINK("https://vaaprint.com/")</f>
      </c>
      <c r="H52" t="f">
        <f>=HYPERLINK("https://www.google.com/maps/search/?api=1&amp;query=V.A.A.%20STATIONERY%20%26%20GENERAL%20STORE", "Click here")</f>
      </c>
    </row>
    <row r="53">
      <c r="A53" t="s">
        <v>71</v>
      </c>
      <c r="B53" t="s">
        <v>9</v>
      </c>
      <c r="F53" s="2" t="s">
        <v>72</v>
      </c>
      <c r="H53" t="f">
        <f>=HYPERLINK("https://www.google.com/maps/search/?api=1&amp;query=Madhumitha%20Fancy%20Store", "Click here")</f>
      </c>
    </row>
    <row r="54">
      <c r="A54" t="s">
        <v>31</v>
      </c>
      <c r="B54" t="s">
        <v>9</v>
      </c>
      <c r="E54" t="s">
        <v>32</v>
      </c>
      <c r="F54" s="2" t="s">
        <v>33</v>
      </c>
      <c r="H54" t="f">
        <f>=HYPERLINK("https://www.google.com/maps/search/?api=1&amp;query=Nanban%20Gift%20Shop", "Click here")</f>
      </c>
    </row>
    <row r="55">
      <c r="A55" t="s">
        <v>34</v>
      </c>
      <c r="B55" t="s">
        <v>35</v>
      </c>
      <c r="C55" t="s">
        <v>36</v>
      </c>
      <c r="D55" t="s">
        <v>19</v>
      </c>
      <c r="E55" t="s">
        <v>37</v>
      </c>
      <c r="F55" s="2" t="s">
        <v>38</v>
      </c>
      <c r="G55" t="f">
        <f>=HYPERLINK("https://www.sathya.store/")</f>
      </c>
      <c r="H55" t="f">
        <f>=HYPERLINK("https://www.google.com/maps/search/?api=1&amp;query=Sathya%20Agencies%2C%20Vandavasi%20-%20Electronics%20and%20Home%20Appliances%20Store%20-%20Buy%20Latest%20Mobiles%2C%20AC%2C%20LED%20TV%2C%20Washing%20Machine%20etc.", "Click here")</f>
      </c>
    </row>
    <row r="56">
      <c r="A56" t="s">
        <v>39</v>
      </c>
      <c r="B56" t="s">
        <v>40</v>
      </c>
      <c r="C56" t="s">
        <v>41</v>
      </c>
      <c r="D56" t="s">
        <v>42</v>
      </c>
      <c r="E56" t="s">
        <v>43</v>
      </c>
      <c r="F56" s="2" t="s">
        <v>44</v>
      </c>
      <c r="G56" t="f">
        <f>=HYPERLINK("https://www.vimalajewellery.com/")</f>
      </c>
      <c r="H56" t="f">
        <f>=HYPERLINK("https://www.google.com/maps/search/?api=1&amp;query=Vimala%20Jewellery%20-%20Vandavasi", "Click here")</f>
      </c>
    </row>
    <row r="57">
      <c r="A57" t="s">
        <v>45</v>
      </c>
      <c r="B57" t="s">
        <v>46</v>
      </c>
      <c r="C57" t="s">
        <v>47</v>
      </c>
      <c r="D57" t="s">
        <v>28</v>
      </c>
      <c r="E57" t="s">
        <v>48</v>
      </c>
      <c r="F57" s="2" t="s">
        <v>49</v>
      </c>
      <c r="H57" t="f">
        <f>=HYPERLINK("https://www.google.com/maps/search/?api=1&amp;query=First%20Smile%20Baby%20Shop%20And%20Kids", "Click here")</f>
      </c>
    </row>
    <row r="58">
      <c r="A58" t="s">
        <v>50</v>
      </c>
      <c r="B58" t="s">
        <v>51</v>
      </c>
      <c r="C58" t="s">
        <v>52</v>
      </c>
      <c r="D58" t="s">
        <v>53</v>
      </c>
      <c r="E58" t="s">
        <v>54</v>
      </c>
      <c r="F58" s="2" t="s">
        <v>55</v>
      </c>
      <c r="H58" t="f">
        <f>=HYPERLINK("https://www.google.com/maps/search/?api=1&amp;query=SRI%20AMMAN%20ELECTRONICS", "Click here")</f>
      </c>
    </row>
    <row r="59">
      <c r="A59" t="s">
        <v>56</v>
      </c>
      <c r="B59" t="s">
        <v>40</v>
      </c>
      <c r="C59" t="s">
        <v>24</v>
      </c>
      <c r="D59" t="s">
        <v>19</v>
      </c>
      <c r="F59" s="2" t="s">
        <v>57</v>
      </c>
      <c r="H59" t="f">
        <f>=HYPERLINK("https://www.google.com/maps/search/?api=1&amp;query=Kalpana%20Thanga%20Maaligai", "Click here")</f>
      </c>
    </row>
    <row r="60">
      <c r="A60" t="s">
        <v>58</v>
      </c>
      <c r="B60" t="s">
        <v>9</v>
      </c>
      <c r="E60" t="s">
        <v>59</v>
      </c>
      <c r="F60" s="2" t="s">
        <v>60</v>
      </c>
      <c r="H60" t="f">
        <f>=HYPERLINK("https://www.google.com/maps/search/?api=1&amp;query=VELU%20SABARI%20FANCY%20STORE", "Click here")</f>
      </c>
    </row>
    <row r="61">
      <c r="A61" t="s">
        <v>61</v>
      </c>
      <c r="B61" t="s">
        <v>62</v>
      </c>
      <c r="C61" t="s">
        <v>63</v>
      </c>
      <c r="D61" t="s">
        <v>53</v>
      </c>
      <c r="E61" t="s">
        <v>64</v>
      </c>
      <c r="F61" s="2" t="s">
        <v>65</v>
      </c>
      <c r="H61" t="f">
        <f>=HYPERLINK("https://www.google.com/maps/search/?api=1&amp;query=SNACKS%20BAZAAR", "Click here")</f>
      </c>
    </row>
    <row r="62">
      <c r="A62" t="s">
        <v>66</v>
      </c>
      <c r="B62" t="s">
        <v>67</v>
      </c>
      <c r="C62" t="s">
        <v>68</v>
      </c>
      <c r="D62" t="s">
        <v>11</v>
      </c>
      <c r="E62" t="s">
        <v>69</v>
      </c>
      <c r="F62" s="2" t="s">
        <v>70</v>
      </c>
      <c r="G62" t="f">
        <f>=HYPERLINK("https://vaaprint.com/")</f>
      </c>
      <c r="H62" t="f">
        <f>=HYPERLINK("https://www.google.com/maps/search/?api=1&amp;query=V.A.A.%20STATIONERY%20%26%20GENERAL%20STORE", "Click here")</f>
      </c>
    </row>
    <row r="63">
      <c r="A63" t="s">
        <v>71</v>
      </c>
      <c r="B63" t="s">
        <v>9</v>
      </c>
      <c r="F63" s="2" t="s">
        <v>72</v>
      </c>
      <c r="H63" t="f">
        <f>=HYPERLINK("https://www.google.com/maps/search/?api=1&amp;query=Madhumitha%20Fancy%20Store", "Click here")</f>
      </c>
    </row>
    <row r="64">
      <c r="A64" t="s">
        <v>14</v>
      </c>
      <c r="B64" t="s">
        <v>9</v>
      </c>
      <c r="F64" s="2" t="s">
        <v>15</v>
      </c>
      <c r="H64" t="f">
        <f>=HYPERLINK("https://www.google.com/maps/search/?api=1&amp;query=National%20Gift%20%26%20Fancy", "Click here")</f>
      </c>
    </row>
    <row r="65">
      <c r="A65" t="s">
        <v>22</v>
      </c>
      <c r="B65" t="s">
        <v>23</v>
      </c>
      <c r="C65" t="s">
        <v>24</v>
      </c>
      <c r="D65" t="s">
        <v>11</v>
      </c>
      <c r="F65" s="2" t="s">
        <v>25</v>
      </c>
      <c r="H65" t="f">
        <f>=HYPERLINK("https://www.google.com/maps/search/?api=1&amp;query=Nandeeswara%20Fancy%20and%20Gift%20Store", "Click here")</f>
      </c>
    </row>
    <row r="66">
      <c r="A66" t="s">
        <v>26</v>
      </c>
      <c r="B66" t="s">
        <v>17</v>
      </c>
      <c r="C66" t="s">
        <v>27</v>
      </c>
      <c r="D66" t="s">
        <v>28</v>
      </c>
      <c r="E66" t="s">
        <v>29</v>
      </c>
      <c r="F66" s="2" t="s">
        <v>30</v>
      </c>
      <c r="G66" t="f">
        <f>=HYPERLINK("https://stores.sangeethamobiles.com/sangeetha-gadgets-vandavasi-mobile-phone-shop-bazzar-street-tiruvannamalai-341695/Home?utm_source=locator&amp;utm_medium=googleplaces")</f>
      </c>
      <c r="H66" t="f">
        <f>=HYPERLINK("https://www.google.com/maps/search/?api=1&amp;query=Sangeetha%20Gadgets%20-%20Vandavasi", "Click here")</f>
      </c>
    </row>
    <row r="67">
      <c r="A67" t="s">
        <v>31</v>
      </c>
      <c r="B67" t="s">
        <v>9</v>
      </c>
      <c r="E67" t="s">
        <v>32</v>
      </c>
      <c r="F67" s="2" t="s">
        <v>33</v>
      </c>
      <c r="H67" t="f">
        <f>=HYPERLINK("https://www.google.com/maps/search/?api=1&amp;query=Nanban%20Gift%20Shop", "Click here")</f>
      </c>
    </row>
    <row r="68">
      <c r="A68" t="s">
        <v>34</v>
      </c>
      <c r="B68" t="s">
        <v>35</v>
      </c>
      <c r="C68" t="s">
        <v>36</v>
      </c>
      <c r="D68" t="s">
        <v>19</v>
      </c>
      <c r="E68" t="s">
        <v>37</v>
      </c>
      <c r="F68" s="2" t="s">
        <v>38</v>
      </c>
      <c r="G68" t="f">
        <f>=HYPERLINK("https://www.sathya.store/")</f>
      </c>
      <c r="H68" t="f">
        <f>=HYPERLINK("https://www.google.com/maps/search/?api=1&amp;query=Sathya%20Agencies%2C%20Vandavasi%20-%20Electronics%20and%20Home%20Appliances%20Store%20-%20Buy%20Latest%20Mobiles%2C%20AC%2C%20LED%20TV%2C%20Washing%20Machine%20etc.", "Click here")</f>
      </c>
    </row>
    <row r="69">
      <c r="A69" t="s">
        <v>39</v>
      </c>
      <c r="B69" t="s">
        <v>40</v>
      </c>
      <c r="C69" t="s">
        <v>41</v>
      </c>
      <c r="D69" t="s">
        <v>42</v>
      </c>
      <c r="E69" t="s">
        <v>43</v>
      </c>
      <c r="F69" s="2" t="s">
        <v>44</v>
      </c>
      <c r="G69" t="f">
        <f>=HYPERLINK("https://www.vimalajewellery.com/")</f>
      </c>
      <c r="H69" t="f">
        <f>=HYPERLINK("https://www.google.com/maps/search/?api=1&amp;query=Vimala%20Jewellery%20-%20Vandavasi", "Click here")</f>
      </c>
    </row>
    <row r="70">
      <c r="A70" t="s">
        <v>45</v>
      </c>
      <c r="B70" t="s">
        <v>46</v>
      </c>
      <c r="C70" t="s">
        <v>47</v>
      </c>
      <c r="D70" t="s">
        <v>28</v>
      </c>
      <c r="E70" t="s">
        <v>48</v>
      </c>
      <c r="F70" s="2" t="s">
        <v>49</v>
      </c>
      <c r="H70" t="f">
        <f>=HYPERLINK("https://www.google.com/maps/search/?api=1&amp;query=First%20Smile%20Baby%20Shop%20And%20Kids", "Click here")</f>
      </c>
    </row>
    <row r="71">
      <c r="A71" t="s">
        <v>50</v>
      </c>
      <c r="B71" t="s">
        <v>51</v>
      </c>
      <c r="C71" t="s">
        <v>52</v>
      </c>
      <c r="D71" t="s">
        <v>53</v>
      </c>
      <c r="E71" t="s">
        <v>54</v>
      </c>
      <c r="F71" s="2" t="s">
        <v>55</v>
      </c>
      <c r="H71" t="f">
        <f>=HYPERLINK("https://www.google.com/maps/search/?api=1&amp;query=SRI%20AMMAN%20ELECTRONICS", "Click here")</f>
      </c>
    </row>
    <row r="72">
      <c r="A72" t="s">
        <v>56</v>
      </c>
      <c r="B72" t="s">
        <v>40</v>
      </c>
      <c r="C72" t="s">
        <v>24</v>
      </c>
      <c r="D72" t="s">
        <v>19</v>
      </c>
      <c r="F72" s="2" t="s">
        <v>57</v>
      </c>
      <c r="H72" t="f">
        <f>=HYPERLINK("https://www.google.com/maps/search/?api=1&amp;query=Kalpana%20Thanga%20Maaligai", "Click here")</f>
      </c>
    </row>
    <row r="73">
      <c r="A73" t="s">
        <v>58</v>
      </c>
      <c r="B73" t="s">
        <v>9</v>
      </c>
      <c r="E73" t="s">
        <v>59</v>
      </c>
      <c r="F73" s="2" t="s">
        <v>60</v>
      </c>
      <c r="H73" t="f">
        <f>=HYPERLINK("https://www.google.com/maps/search/?api=1&amp;query=VELU%20SABARI%20FANCY%20STORE", "Click here")</f>
      </c>
    </row>
    <row r="74">
      <c r="A74" t="s">
        <v>61</v>
      </c>
      <c r="B74" t="s">
        <v>62</v>
      </c>
      <c r="C74" t="s">
        <v>63</v>
      </c>
      <c r="D74" t="s">
        <v>53</v>
      </c>
      <c r="E74" t="s">
        <v>64</v>
      </c>
      <c r="F74" s="2" t="s">
        <v>65</v>
      </c>
      <c r="H74" t="f">
        <f>=HYPERLINK("https://www.google.com/maps/search/?api=1&amp;query=SNACKS%20BAZAAR", "Click here")</f>
      </c>
    </row>
    <row r="75">
      <c r="A75" t="s">
        <v>66</v>
      </c>
      <c r="B75" t="s">
        <v>67</v>
      </c>
      <c r="C75" t="s">
        <v>68</v>
      </c>
      <c r="D75" t="s">
        <v>11</v>
      </c>
      <c r="E75" t="s">
        <v>69</v>
      </c>
      <c r="F75" s="2" t="s">
        <v>70</v>
      </c>
      <c r="G75" t="f">
        <f>=HYPERLINK("https://vaaprint.com/")</f>
      </c>
      <c r="H75" t="f">
        <f>=HYPERLINK("https://www.google.com/maps/search/?api=1&amp;query=V.A.A.%20STATIONERY%20%26%20GENERAL%20STORE", "Click here")</f>
      </c>
    </row>
    <row r="76">
      <c r="A76" t="s">
        <v>71</v>
      </c>
      <c r="B76" t="s">
        <v>9</v>
      </c>
      <c r="F76" s="2" t="s">
        <v>72</v>
      </c>
      <c r="H76" t="f">
        <f>=HYPERLINK("https://www.google.com/maps/search/?api=1&amp;query=Madhumitha%20Fancy%20Store", "Click here")</f>
      </c>
    </row>
    <row r="77">
      <c r="A77" t="s">
        <v>34</v>
      </c>
      <c r="B77" t="s">
        <v>35</v>
      </c>
      <c r="C77" t="s">
        <v>36</v>
      </c>
      <c r="D77" t="s">
        <v>19</v>
      </c>
      <c r="E77" t="s">
        <v>37</v>
      </c>
      <c r="F77" s="2" t="s">
        <v>38</v>
      </c>
      <c r="G77" t="f">
        <f>=HYPERLINK("https://www.sathya.store/")</f>
      </c>
      <c r="H77" t="f">
        <f>=HYPERLINK("https://www.google.com/maps/search/?api=1&amp;query=Sathya%20Agencies%2C%20Vandavasi%20-%20Electronics%20and%20Home%20Appliances%20Store%20-%20Buy%20Latest%20Mobiles%2C%20AC%2C%20LED%20TV%2C%20Washing%20Machine%20etc.", "Click here")</f>
      </c>
    </row>
    <row r="78">
      <c r="A78" t="s">
        <v>39</v>
      </c>
      <c r="B78" t="s">
        <v>40</v>
      </c>
      <c r="C78" t="s">
        <v>41</v>
      </c>
      <c r="D78" t="s">
        <v>42</v>
      </c>
      <c r="E78" t="s">
        <v>43</v>
      </c>
      <c r="F78" s="2" t="s">
        <v>44</v>
      </c>
      <c r="G78" t="f">
        <f>=HYPERLINK("https://www.vimalajewellery.com/")</f>
      </c>
      <c r="H78" t="f">
        <f>=HYPERLINK("https://www.google.com/maps/search/?api=1&amp;query=Vimala%20Jewellery%20-%20Vandavasi", "Click here")</f>
      </c>
    </row>
    <row r="79">
      <c r="A79" t="s">
        <v>45</v>
      </c>
      <c r="B79" t="s">
        <v>46</v>
      </c>
      <c r="C79" t="s">
        <v>47</v>
      </c>
      <c r="D79" t="s">
        <v>28</v>
      </c>
      <c r="E79" t="s">
        <v>48</v>
      </c>
      <c r="F79" s="2" t="s">
        <v>49</v>
      </c>
      <c r="H79" t="f">
        <f>=HYPERLINK("https://www.google.com/maps/search/?api=1&amp;query=First%20Smile%20Baby%20Shop%20And%20Kids", "Click here")</f>
      </c>
    </row>
    <row r="80">
      <c r="A80" t="s">
        <v>50</v>
      </c>
      <c r="B80" t="s">
        <v>51</v>
      </c>
      <c r="C80" t="s">
        <v>52</v>
      </c>
      <c r="D80" t="s">
        <v>53</v>
      </c>
      <c r="E80" t="s">
        <v>54</v>
      </c>
      <c r="F80" s="2" t="s">
        <v>55</v>
      </c>
      <c r="H80" t="f">
        <f>=HYPERLINK("https://www.google.com/maps/search/?api=1&amp;query=SRI%20AMMAN%20ELECTRONICS", "Click here")</f>
      </c>
    </row>
    <row r="81">
      <c r="A81" t="s">
        <v>56</v>
      </c>
      <c r="B81" t="s">
        <v>40</v>
      </c>
      <c r="C81" t="s">
        <v>24</v>
      </c>
      <c r="D81" t="s">
        <v>19</v>
      </c>
      <c r="F81" s="2" t="s">
        <v>57</v>
      </c>
      <c r="H81" t="f">
        <f>=HYPERLINK("https://www.google.com/maps/search/?api=1&amp;query=Kalpana%20Thanga%20Maaligai", "Click here")</f>
      </c>
    </row>
    <row r="82">
      <c r="A82" t="s">
        <v>58</v>
      </c>
      <c r="B82" t="s">
        <v>9</v>
      </c>
      <c r="E82" t="s">
        <v>59</v>
      </c>
      <c r="F82" s="2" t="s">
        <v>60</v>
      </c>
      <c r="H82" t="f">
        <f>=HYPERLINK("https://www.google.com/maps/search/?api=1&amp;query=VELU%20SABARI%20FANCY%20STORE", "Click here")</f>
      </c>
    </row>
    <row r="83">
      <c r="A83" t="s">
        <v>61</v>
      </c>
      <c r="B83" t="s">
        <v>62</v>
      </c>
      <c r="C83" t="s">
        <v>63</v>
      </c>
      <c r="D83" t="s">
        <v>53</v>
      </c>
      <c r="E83" t="s">
        <v>64</v>
      </c>
      <c r="F83" s="2" t="s">
        <v>65</v>
      </c>
      <c r="H83" t="f">
        <f>=HYPERLINK("https://www.google.com/maps/search/?api=1&amp;query=SNACKS%20BAZAAR", "Click here")</f>
      </c>
    </row>
    <row r="84">
      <c r="A84" t="s">
        <v>66</v>
      </c>
      <c r="B84" t="s">
        <v>67</v>
      </c>
      <c r="C84" t="s">
        <v>68</v>
      </c>
      <c r="D84" t="s">
        <v>11</v>
      </c>
      <c r="E84" t="s">
        <v>69</v>
      </c>
      <c r="F84" s="2" t="s">
        <v>70</v>
      </c>
      <c r="G84" t="f">
        <f>=HYPERLINK("https://vaaprint.com/")</f>
      </c>
      <c r="H84" t="f">
        <f>=HYPERLINK("https://www.google.com/maps/search/?api=1&amp;query=V.A.A.%20STATIONERY%20%26%20GENERAL%20STORE", "Click here")</f>
      </c>
    </row>
    <row r="85">
      <c r="A85" t="s">
        <v>71</v>
      </c>
      <c r="B85" t="s">
        <v>9</v>
      </c>
      <c r="F85" s="2" t="s">
        <v>72</v>
      </c>
      <c r="H85" t="f">
        <f>=HYPERLINK("https://www.google.com/maps/search/?api=1&amp;query=Madhumitha%20Fancy%20Store", "Click here")</f>
      </c>
    </row>
    <row r="86">
      <c r="A86" t="s">
        <v>26</v>
      </c>
      <c r="B86" t="s">
        <v>17</v>
      </c>
      <c r="C86" t="s">
        <v>27</v>
      </c>
      <c r="D86" t="s">
        <v>28</v>
      </c>
      <c r="E86" t="s">
        <v>29</v>
      </c>
      <c r="F86" s="2" t="s">
        <v>30</v>
      </c>
      <c r="G86" t="f">
        <f>=HYPERLINK("https://stores.sangeethamobiles.com/sangeetha-gadgets-vandavasi-mobile-phone-shop-bazzar-street-tiruvannamalai-341695/Home?utm_source=locator&amp;utm_medium=googleplaces")</f>
      </c>
      <c r="H86" t="f">
        <f>=HYPERLINK("https://www.google.com/maps/search/?api=1&amp;query=Sangeetha%20Gadgets%20-%20Vandavasi", "Click here")</f>
      </c>
    </row>
    <row r="87">
      <c r="A87" t="s">
        <v>31</v>
      </c>
      <c r="B87" t="s">
        <v>9</v>
      </c>
      <c r="E87" t="s">
        <v>32</v>
      </c>
      <c r="F87" s="2" t="s">
        <v>33</v>
      </c>
      <c r="H87" t="f">
        <f>=HYPERLINK("https://www.google.com/maps/search/?api=1&amp;query=Nanban%20Gift%20Shop", "Click here")</f>
      </c>
    </row>
    <row r="88">
      <c r="A88" t="s">
        <v>34</v>
      </c>
      <c r="B88" t="s">
        <v>35</v>
      </c>
      <c r="C88" t="s">
        <v>36</v>
      </c>
      <c r="D88" t="s">
        <v>19</v>
      </c>
      <c r="E88" t="s">
        <v>37</v>
      </c>
      <c r="F88" s="2" t="s">
        <v>38</v>
      </c>
      <c r="G88" t="f">
        <f>=HYPERLINK("https://www.sathya.store/")</f>
      </c>
      <c r="H88" t="f">
        <f>=HYPERLINK("https://www.google.com/maps/search/?api=1&amp;query=Sathya%20Agencies%2C%20Vandavasi%20-%20Electronics%20and%20Home%20Appliances%20Store%20-%20Buy%20Latest%20Mobiles%2C%20AC%2C%20LED%20TV%2C%20Washing%20Machine%20etc.", "Click here")</f>
      </c>
    </row>
    <row r="89">
      <c r="A89" t="s">
        <v>39</v>
      </c>
      <c r="B89" t="s">
        <v>40</v>
      </c>
      <c r="C89" t="s">
        <v>41</v>
      </c>
      <c r="D89" t="s">
        <v>42</v>
      </c>
      <c r="E89" t="s">
        <v>43</v>
      </c>
      <c r="F89" s="2" t="s">
        <v>44</v>
      </c>
      <c r="G89" t="f">
        <f>=HYPERLINK("https://www.vimalajewellery.com/")</f>
      </c>
      <c r="H89" t="f">
        <f>=HYPERLINK("https://www.google.com/maps/search/?api=1&amp;query=Vimala%20Jewellery%20-%20Vandavasi", "Click here")</f>
      </c>
    </row>
    <row r="90">
      <c r="A90" t="s">
        <v>45</v>
      </c>
      <c r="B90" t="s">
        <v>46</v>
      </c>
      <c r="C90" t="s">
        <v>47</v>
      </c>
      <c r="D90" t="s">
        <v>28</v>
      </c>
      <c r="E90" t="s">
        <v>48</v>
      </c>
      <c r="F90" s="2" t="s">
        <v>49</v>
      </c>
      <c r="H90" t="f">
        <f>=HYPERLINK("https://www.google.com/maps/search/?api=1&amp;query=First%20Smile%20Baby%20Shop%20And%20Kids", "Click here")</f>
      </c>
    </row>
    <row r="91">
      <c r="A91" t="s">
        <v>50</v>
      </c>
      <c r="B91" t="s">
        <v>51</v>
      </c>
      <c r="C91" t="s">
        <v>52</v>
      </c>
      <c r="D91" t="s">
        <v>53</v>
      </c>
      <c r="E91" t="s">
        <v>54</v>
      </c>
      <c r="F91" s="2" t="s">
        <v>55</v>
      </c>
      <c r="H91" t="f">
        <f>=HYPERLINK("https://www.google.com/maps/search/?api=1&amp;query=SRI%20AMMAN%20ELECTRONICS", "Click here")</f>
      </c>
    </row>
    <row r="92">
      <c r="A92" t="s">
        <v>56</v>
      </c>
      <c r="B92" t="s">
        <v>40</v>
      </c>
      <c r="C92" t="s">
        <v>24</v>
      </c>
      <c r="D92" t="s">
        <v>19</v>
      </c>
      <c r="F92" s="2" t="s">
        <v>57</v>
      </c>
      <c r="H92" t="f">
        <f>=HYPERLINK("https://www.google.com/maps/search/?api=1&amp;query=Kalpana%20Thanga%20Maaligai", "Click here")</f>
      </c>
    </row>
    <row r="93">
      <c r="A93" t="s">
        <v>58</v>
      </c>
      <c r="B93" t="s">
        <v>9</v>
      </c>
      <c r="E93" t="s">
        <v>59</v>
      </c>
      <c r="F93" s="2" t="s">
        <v>60</v>
      </c>
      <c r="H93" t="f">
        <f>=HYPERLINK("https://www.google.com/maps/search/?api=1&amp;query=VELU%20SABARI%20FANCY%20STORE", "Click here")</f>
      </c>
    </row>
    <row r="94">
      <c r="A94" t="s">
        <v>61</v>
      </c>
      <c r="B94" t="s">
        <v>62</v>
      </c>
      <c r="C94" t="s">
        <v>63</v>
      </c>
      <c r="D94" t="s">
        <v>53</v>
      </c>
      <c r="E94" t="s">
        <v>64</v>
      </c>
      <c r="F94" s="2" t="s">
        <v>65</v>
      </c>
      <c r="H94" t="f">
        <f>=HYPERLINK("https://www.google.com/maps/search/?api=1&amp;query=SNACKS%20BAZAAR", "Click here")</f>
      </c>
    </row>
    <row r="95">
      <c r="A95" t="s">
        <v>66</v>
      </c>
      <c r="B95" t="s">
        <v>67</v>
      </c>
      <c r="C95" t="s">
        <v>68</v>
      </c>
      <c r="D95" t="s">
        <v>11</v>
      </c>
      <c r="E95" t="s">
        <v>69</v>
      </c>
      <c r="F95" s="2" t="s">
        <v>70</v>
      </c>
      <c r="G95" t="f">
        <f>=HYPERLINK("https://vaaprint.com/")</f>
      </c>
      <c r="H95" t="f">
        <f>=HYPERLINK("https://www.google.com/maps/search/?api=1&amp;query=V.A.A.%20STATIONERY%20%26%20GENERAL%20STORE", "Click here")</f>
      </c>
    </row>
    <row r="96">
      <c r="A96" t="s">
        <v>71</v>
      </c>
      <c r="B96" t="s">
        <v>9</v>
      </c>
      <c r="F96" s="2" t="s">
        <v>72</v>
      </c>
      <c r="H96" t="f">
        <f>=HYPERLINK("https://www.google.com/maps/search/?api=1&amp;query=Madhumitha%20Fancy%20Store", "Click here")</f>
      </c>
    </row>
    <row r="97">
      <c r="A97" t="s">
        <v>45</v>
      </c>
      <c r="B97" t="s">
        <v>46</v>
      </c>
      <c r="C97" t="s">
        <v>47</v>
      </c>
      <c r="D97" t="s">
        <v>28</v>
      </c>
      <c r="E97" t="s">
        <v>48</v>
      </c>
      <c r="F97" s="2" t="s">
        <v>49</v>
      </c>
      <c r="H97" t="f">
        <f>=HYPERLINK("https://www.google.com/maps/search/?api=1&amp;query=First%20Smile%20Baby%20Shop%20And%20Kids", "Click here")</f>
      </c>
    </row>
    <row r="98">
      <c r="A98" t="s">
        <v>50</v>
      </c>
      <c r="B98" t="s">
        <v>51</v>
      </c>
      <c r="C98" t="s">
        <v>52</v>
      </c>
      <c r="D98" t="s">
        <v>53</v>
      </c>
      <c r="E98" t="s">
        <v>54</v>
      </c>
      <c r="F98" s="2" t="s">
        <v>55</v>
      </c>
      <c r="H98" t="f">
        <f>=HYPERLINK("https://www.google.com/maps/search/?api=1&amp;query=SRI%20AMMAN%20ELECTRONICS", "Click here")</f>
      </c>
    </row>
    <row r="99">
      <c r="A99" t="s">
        <v>56</v>
      </c>
      <c r="B99" t="s">
        <v>40</v>
      </c>
      <c r="C99" t="s">
        <v>24</v>
      </c>
      <c r="D99" t="s">
        <v>19</v>
      </c>
      <c r="F99" s="2" t="s">
        <v>57</v>
      </c>
      <c r="H99" t="f">
        <f>=HYPERLINK("https://www.google.com/maps/search/?api=1&amp;query=Kalpana%20Thanga%20Maaligai", "Click here")</f>
      </c>
    </row>
    <row r="100">
      <c r="A100" t="s">
        <v>58</v>
      </c>
      <c r="B100" t="s">
        <v>9</v>
      </c>
      <c r="E100" t="s">
        <v>59</v>
      </c>
      <c r="F100" s="2" t="s">
        <v>60</v>
      </c>
      <c r="H100" t="f">
        <f>=HYPERLINK("https://www.google.com/maps/search/?api=1&amp;query=VELU%20SABARI%20FANCY%20STORE", "Click here")</f>
      </c>
    </row>
    <row r="101">
      <c r="A101" t="s">
        <v>61</v>
      </c>
      <c r="B101" t="s">
        <v>62</v>
      </c>
      <c r="C101" t="s">
        <v>63</v>
      </c>
      <c r="D101" t="s">
        <v>53</v>
      </c>
      <c r="E101" t="s">
        <v>64</v>
      </c>
      <c r="F101" s="2" t="s">
        <v>65</v>
      </c>
      <c r="H101" t="f">
        <f>=HYPERLINK("https://www.google.com/maps/search/?api=1&amp;query=SNACKS%20BAZAAR", "Click here")</f>
      </c>
    </row>
    <row r="102">
      <c r="A102" t="s">
        <v>66</v>
      </c>
      <c r="B102" t="s">
        <v>67</v>
      </c>
      <c r="C102" t="s">
        <v>68</v>
      </c>
      <c r="D102" t="s">
        <v>11</v>
      </c>
      <c r="E102" t="s">
        <v>69</v>
      </c>
      <c r="F102" s="2" t="s">
        <v>70</v>
      </c>
      <c r="G102" t="f">
        <f>=HYPERLINK("https://vaaprint.com/")</f>
      </c>
      <c r="H102" t="f">
        <f>=HYPERLINK("https://www.google.com/maps/search/?api=1&amp;query=V.A.A.%20STATIONERY%20%26%20GENERAL%20STORE", "Click here")</f>
      </c>
    </row>
    <row r="103">
      <c r="A103" t="s">
        <v>71</v>
      </c>
      <c r="B103" t="s">
        <v>9</v>
      </c>
      <c r="F103" s="2" t="s">
        <v>72</v>
      </c>
      <c r="H103" t="f">
        <f>=HYPERLINK("https://www.google.com/maps/search/?api=1&amp;query=Madhumitha%20Fancy%20Store", "Click here")</f>
      </c>
    </row>
    <row r="104">
      <c r="A104" t="s">
        <v>50</v>
      </c>
      <c r="B104" t="s">
        <v>51</v>
      </c>
      <c r="C104" t="s">
        <v>52</v>
      </c>
      <c r="D104" t="s">
        <v>53</v>
      </c>
      <c r="E104" t="s">
        <v>54</v>
      </c>
      <c r="F104" s="2" t="s">
        <v>55</v>
      </c>
      <c r="H104" t="f">
        <f>=HYPERLINK("https://www.google.com/maps/search/?api=1&amp;query=SRI%20AMMAN%20ELECTRONICS", "Click here")</f>
      </c>
    </row>
    <row r="105">
      <c r="A105" t="s">
        <v>56</v>
      </c>
      <c r="B105" t="s">
        <v>40</v>
      </c>
      <c r="C105" t="s">
        <v>24</v>
      </c>
      <c r="D105" t="s">
        <v>19</v>
      </c>
      <c r="F105" s="2" t="s">
        <v>57</v>
      </c>
      <c r="H105" t="f">
        <f>=HYPERLINK("https://www.google.com/maps/search/?api=1&amp;query=Kalpana%20Thanga%20Maaligai", "Click here")</f>
      </c>
    </row>
    <row r="106">
      <c r="A106" t="s">
        <v>58</v>
      </c>
      <c r="B106" t="s">
        <v>9</v>
      </c>
      <c r="E106" t="s">
        <v>59</v>
      </c>
      <c r="F106" s="2" t="s">
        <v>60</v>
      </c>
      <c r="H106" t="f">
        <f>=HYPERLINK("https://www.google.com/maps/search/?api=1&amp;query=VELU%20SABARI%20FANCY%20STORE", "Click here")</f>
      </c>
    </row>
    <row r="107">
      <c r="A107" t="s">
        <v>61</v>
      </c>
      <c r="B107" t="s">
        <v>62</v>
      </c>
      <c r="C107" t="s">
        <v>63</v>
      </c>
      <c r="D107" t="s">
        <v>53</v>
      </c>
      <c r="E107" t="s">
        <v>64</v>
      </c>
      <c r="F107" s="2" t="s">
        <v>65</v>
      </c>
      <c r="H107" t="f">
        <f>=HYPERLINK("https://www.google.com/maps/search/?api=1&amp;query=SNACKS%20BAZAAR", "Click here")</f>
      </c>
    </row>
    <row r="108">
      <c r="A108" t="s">
        <v>66</v>
      </c>
      <c r="B108" t="s">
        <v>67</v>
      </c>
      <c r="C108" t="s">
        <v>68</v>
      </c>
      <c r="D108" t="s">
        <v>11</v>
      </c>
      <c r="E108" t="s">
        <v>69</v>
      </c>
      <c r="F108" s="2" t="s">
        <v>70</v>
      </c>
      <c r="G108" t="f">
        <f>=HYPERLINK("https://vaaprint.com/")</f>
      </c>
      <c r="H108" t="f">
        <f>=HYPERLINK("https://www.google.com/maps/search/?api=1&amp;query=V.A.A.%20STATIONERY%20%26%20GENERAL%20STORE", "Click here")</f>
      </c>
    </row>
    <row r="109">
      <c r="A109" t="s">
        <v>71</v>
      </c>
      <c r="B109" t="s">
        <v>9</v>
      </c>
      <c r="F109" s="2" t="s">
        <v>72</v>
      </c>
      <c r="H109" t="f">
        <f>=HYPERLINK("https://www.google.com/maps/search/?api=1&amp;query=Madhumitha%20Fancy%20Store", "Click here")</f>
      </c>
    </row>
    <row r="110">
      <c r="A110" t="s">
        <v>56</v>
      </c>
      <c r="B110" t="s">
        <v>40</v>
      </c>
      <c r="C110" t="s">
        <v>24</v>
      </c>
      <c r="D110" t="s">
        <v>19</v>
      </c>
      <c r="F110" s="2" t="s">
        <v>57</v>
      </c>
      <c r="H110" t="f">
        <f>=HYPERLINK("https://www.google.com/maps/search/?api=1&amp;query=Kalpana%20Thanga%20Maaligai", "Click here")</f>
      </c>
    </row>
    <row r="111">
      <c r="A111" t="s">
        <v>58</v>
      </c>
      <c r="B111" t="s">
        <v>9</v>
      </c>
      <c r="E111" t="s">
        <v>59</v>
      </c>
      <c r="F111" s="2" t="s">
        <v>60</v>
      </c>
      <c r="H111" t="f">
        <f>=HYPERLINK("https://www.google.com/maps/search/?api=1&amp;query=VELU%20SABARI%20FANCY%20STORE", "Click here")</f>
      </c>
    </row>
    <row r="112">
      <c r="A112" t="s">
        <v>61</v>
      </c>
      <c r="B112" t="s">
        <v>62</v>
      </c>
      <c r="C112" t="s">
        <v>63</v>
      </c>
      <c r="D112" t="s">
        <v>53</v>
      </c>
      <c r="E112" t="s">
        <v>64</v>
      </c>
      <c r="F112" s="2" t="s">
        <v>65</v>
      </c>
      <c r="H112" t="f">
        <f>=HYPERLINK("https://www.google.com/maps/search/?api=1&amp;query=SNACKS%20BAZAAR", "Click here")</f>
      </c>
    </row>
    <row r="113">
      <c r="A113" t="s">
        <v>66</v>
      </c>
      <c r="B113" t="s">
        <v>67</v>
      </c>
      <c r="C113" t="s">
        <v>68</v>
      </c>
      <c r="D113" t="s">
        <v>11</v>
      </c>
      <c r="E113" t="s">
        <v>69</v>
      </c>
      <c r="F113" s="2" t="s">
        <v>70</v>
      </c>
      <c r="G113" t="f">
        <f>=HYPERLINK("https://vaaprint.com/")</f>
      </c>
      <c r="H113" t="f">
        <f>=HYPERLINK("https://www.google.com/maps/search/?api=1&amp;query=V.A.A.%20STATIONERY%20%26%20GENERAL%20STORE", "Click here")</f>
      </c>
    </row>
    <row r="114">
      <c r="A114" t="s">
        <v>71</v>
      </c>
      <c r="B114" t="s">
        <v>9</v>
      </c>
      <c r="F114" s="2" t="s">
        <v>72</v>
      </c>
      <c r="H114" t="f">
        <f>=HYPERLINK("https://www.google.com/maps/search/?api=1&amp;query=Madhumitha%20Fancy%20Store", "Click here")</f>
      </c>
    </row>
    <row r="115">
      <c r="A115" t="s">
        <v>58</v>
      </c>
      <c r="B115" t="s">
        <v>9</v>
      </c>
      <c r="E115" t="s">
        <v>59</v>
      </c>
      <c r="F115" s="2" t="s">
        <v>60</v>
      </c>
      <c r="H115" t="f">
        <f>=HYPERLINK("https://www.google.com/maps/search/?api=1&amp;query=VELU%20SABARI%20FANCY%20STORE", "Click here")</f>
      </c>
    </row>
    <row r="116">
      <c r="A116" t="s">
        <v>61</v>
      </c>
      <c r="B116" t="s">
        <v>62</v>
      </c>
      <c r="C116" t="s">
        <v>63</v>
      </c>
      <c r="D116" t="s">
        <v>53</v>
      </c>
      <c r="E116" t="s">
        <v>64</v>
      </c>
      <c r="F116" s="2" t="s">
        <v>65</v>
      </c>
      <c r="H116" t="f">
        <f>=HYPERLINK("https://www.google.com/maps/search/?api=1&amp;query=SNACKS%20BAZAAR", "Click here")</f>
      </c>
    </row>
    <row r="117">
      <c r="A117" t="s">
        <v>66</v>
      </c>
      <c r="B117" t="s">
        <v>67</v>
      </c>
      <c r="C117" t="s">
        <v>68</v>
      </c>
      <c r="D117" t="s">
        <v>11</v>
      </c>
      <c r="E117" t="s">
        <v>69</v>
      </c>
      <c r="F117" s="2" t="s">
        <v>70</v>
      </c>
      <c r="G117" t="f">
        <f>=HYPERLINK("https://vaaprint.com/")</f>
      </c>
      <c r="H117" t="f">
        <f>=HYPERLINK("https://www.google.com/maps/search/?api=1&amp;query=V.A.A.%20STATIONERY%20%26%20GENERAL%20STORE", "Click here")</f>
      </c>
    </row>
    <row r="118">
      <c r="A118" t="s">
        <v>71</v>
      </c>
      <c r="B118" t="s">
        <v>9</v>
      </c>
      <c r="F118" s="2" t="s">
        <v>72</v>
      </c>
      <c r="H118" t="f">
        <f>=HYPERLINK("https://www.google.com/maps/search/?api=1&amp;query=Madhumitha%20Fancy%20Store", "Click here")</f>
      </c>
    </row>
    <row r="119">
      <c r="A119" t="s">
        <v>61</v>
      </c>
      <c r="B119" t="s">
        <v>62</v>
      </c>
      <c r="C119" t="s">
        <v>63</v>
      </c>
      <c r="D119" t="s">
        <v>53</v>
      </c>
      <c r="E119" t="s">
        <v>64</v>
      </c>
      <c r="F119" s="2" t="s">
        <v>65</v>
      </c>
      <c r="H119" t="f">
        <f>=HYPERLINK("https://www.google.com/maps/search/?api=1&amp;query=SNACKS%20BAZAAR", "Click here")</f>
      </c>
    </row>
    <row r="120">
      <c r="A120" t="s">
        <v>66</v>
      </c>
      <c r="B120" t="s">
        <v>67</v>
      </c>
      <c r="C120" t="s">
        <v>68</v>
      </c>
      <c r="D120" t="s">
        <v>11</v>
      </c>
      <c r="E120" t="s">
        <v>69</v>
      </c>
      <c r="F120" s="2" t="s">
        <v>70</v>
      </c>
      <c r="G120" t="f">
        <f>=HYPERLINK("https://vaaprint.com/")</f>
      </c>
      <c r="H120" t="f">
        <f>=HYPERLINK("https://www.google.com/maps/search/?api=1&amp;query=V.A.A.%20STATIONERY%20%26%20GENERAL%20STORE", "Click here")</f>
      </c>
    </row>
    <row r="121">
      <c r="A121" t="s">
        <v>71</v>
      </c>
      <c r="B121" t="s">
        <v>9</v>
      </c>
      <c r="F121" s="2" t="s">
        <v>72</v>
      </c>
      <c r="H121" t="f">
        <f>=HYPERLINK("https://www.google.com/maps/search/?api=1&amp;query=Madhumitha%20Fancy%20Store", "Click here")</f>
      </c>
    </row>
    <row r="122">
      <c r="A122" t="s">
        <v>58</v>
      </c>
      <c r="B122" t="s">
        <v>9</v>
      </c>
      <c r="E122" t="s">
        <v>59</v>
      </c>
      <c r="F122" s="2" t="s">
        <v>60</v>
      </c>
      <c r="H122" t="f">
        <f>=HYPERLINK("https://www.google.com/maps/search/?api=1&amp;query=VELU%20SABARI%20FANCY%20STORE", "Click here")</f>
      </c>
    </row>
    <row r="123">
      <c r="A123" t="s">
        <v>87</v>
      </c>
      <c r="B123" t="s">
        <v>9</v>
      </c>
      <c r="C123" t="s">
        <v>88</v>
      </c>
      <c r="D123" t="s">
        <v>11</v>
      </c>
      <c r="F123" s="2" t="s">
        <v>89</v>
      </c>
      <c r="H123" t="f">
        <f>=HYPERLINK("https://www.google.com/maps/search/?api=1&amp;query=Kavitha%20fancy%20store", "Click here")</f>
      </c>
    </row>
    <row r="124">
      <c r="A124" t="s">
        <v>73</v>
      </c>
      <c r="B124" t="s">
        <v>9</v>
      </c>
      <c r="C124" t="s">
        <v>74</v>
      </c>
      <c r="D124" t="s">
        <v>19</v>
      </c>
      <c r="E124" t="s">
        <v>75</v>
      </c>
      <c r="F124" s="2" t="s">
        <v>76</v>
      </c>
      <c r="H124" t="f">
        <f>=HYPERLINK("https://www.google.com/maps/search/?api=1&amp;query=SAMBHAV%20GIFTS", "Click here")</f>
      </c>
    </row>
    <row r="125">
      <c r="A125" t="s">
        <v>77</v>
      </c>
      <c r="B125" t="s">
        <v>9</v>
      </c>
      <c r="C125" t="s">
        <v>78</v>
      </c>
      <c r="D125" t="s">
        <v>79</v>
      </c>
      <c r="E125" t="s">
        <v>80</v>
      </c>
      <c r="F125" s="2" t="s">
        <v>81</v>
      </c>
      <c r="H125" t="f">
        <f>=HYPERLINK("https://www.google.com/maps/search/?api=1&amp;query=Sivanthi%20shoppe%20Sivakasi", "Click here")</f>
      </c>
    </row>
    <row r="126">
      <c r="A126" t="s">
        <v>82</v>
      </c>
      <c r="B126" t="s">
        <v>83</v>
      </c>
      <c r="C126" t="s">
        <v>84</v>
      </c>
      <c r="D126" t="s">
        <v>11</v>
      </c>
      <c r="E126" t="s">
        <v>85</v>
      </c>
      <c r="F126" s="2" t="s">
        <v>86</v>
      </c>
      <c r="H126" t="f">
        <f>=HYPERLINK("https://www.google.com/maps/search/?api=1&amp;query=Hi-Fi%20Mobiles", "Click here")</f>
      </c>
    </row>
    <row r="127">
      <c r="A127" t="s">
        <v>71</v>
      </c>
      <c r="B127" t="s">
        <v>9</v>
      </c>
      <c r="F127" s="2" t="s">
        <v>72</v>
      </c>
      <c r="H127" t="f">
        <f>=HYPERLINK("https://www.google.com/maps/search/?api=1&amp;query=Madhumitha%20Fancy%20Store", "Click here")</f>
      </c>
    </row>
    <row r="128">
      <c r="A128" t="s">
        <v>71</v>
      </c>
      <c r="B128" t="s">
        <v>9</v>
      </c>
      <c r="F128" s="2" t="s">
        <v>72</v>
      </c>
      <c r="H128" t="f">
        <f>=HYPERLINK("https://www.google.com/maps/search/?api=1&amp;query=Madhumitha%20Fancy%20Store", "Click here")</f>
      </c>
    </row>
    <row r="129">
      <c r="A129" t="s">
        <v>73</v>
      </c>
      <c r="B129" t="s">
        <v>9</v>
      </c>
      <c r="C129" t="s">
        <v>74</v>
      </c>
      <c r="D129" t="s">
        <v>19</v>
      </c>
      <c r="E129" t="s">
        <v>75</v>
      </c>
      <c r="F129" s="2" t="s">
        <v>76</v>
      </c>
      <c r="H129" t="f">
        <f>=HYPERLINK("https://www.google.com/maps/search/?api=1&amp;query=SAMBHAV%20GIFTS", "Click here")</f>
      </c>
    </row>
    <row r="130">
      <c r="A130" t="s">
        <v>77</v>
      </c>
      <c r="B130" t="s">
        <v>9</v>
      </c>
      <c r="C130" t="s">
        <v>78</v>
      </c>
      <c r="D130" t="s">
        <v>79</v>
      </c>
      <c r="E130" t="s">
        <v>80</v>
      </c>
      <c r="F130" s="2" t="s">
        <v>81</v>
      </c>
      <c r="H130" t="f">
        <f>=HYPERLINK("https://www.google.com/maps/search/?api=1&amp;query=Sivanthi%20shoppe%20Sivakasi", "Click here")</f>
      </c>
    </row>
    <row r="131">
      <c r="A131" t="s">
        <v>82</v>
      </c>
      <c r="B131" t="s">
        <v>83</v>
      </c>
      <c r="C131" t="s">
        <v>84</v>
      </c>
      <c r="D131" t="s">
        <v>11</v>
      </c>
      <c r="E131" t="s">
        <v>85</v>
      </c>
      <c r="F131" s="2" t="s">
        <v>86</v>
      </c>
      <c r="H131" t="f">
        <f>=HYPERLINK("https://www.google.com/maps/search/?api=1&amp;query=Hi-Fi%20Mobiles", "Click here")</f>
      </c>
    </row>
    <row r="132">
      <c r="A132" t="s">
        <v>71</v>
      </c>
      <c r="B132" t="s">
        <v>9</v>
      </c>
      <c r="F132" s="2" t="s">
        <v>72</v>
      </c>
      <c r="H132" t="f">
        <f>=HYPERLINK("https://www.google.com/maps/search/?api=1&amp;query=Madhumitha%20Fancy%20Store", "Click here")</f>
      </c>
    </row>
  </sheetData>
</worksheet>
</file>